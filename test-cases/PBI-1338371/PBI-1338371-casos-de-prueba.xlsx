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prueba" sheetId="1" state="visible" r:id="rId3"/>
    <sheet name="Fuera de alcance" sheetId="2" state="visible" r:id="rId4"/>
    <sheet name="Leyenda" sheetId="3" state="visible" r:id="rId5"/>
  </sheets>
  <definedNames>
    <definedName function="false" hidden="false" localSheetId="0" name="_xlnm.Print_Titles" vbProcedure="false">'Casos de prueba'!$1:$3</definedName>
    <definedName function="false" hidden="true" localSheetId="0" name="_xlnm._FilterDatabase" vbProcedure="false">'Casos de prueba'!$A$3:$D$8</definedName>
    <definedName function="false" hidden="true" localSheetId="1" name="_xlnm._FilterDatabase" vbProcedure="false">'Fuera de alcance'!$A$3:$C$12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QA</author>
  </authors>
  <commentList>
    <comment ref="D3" authorId="0">
      <text>
        <r>
          <rPr>
            <sz val="10"/>
            <rFont val="Arial"/>
            <family val="2"/>
          </rPr>
          <t xml:space="preserve">Pass / Fail / Parcial / No ejecutado. Pass solo si el delta de este PBI está cubierto. Fail solo si el esperado de ESTE PBI se contrastó y no cuadra.</t>
        </r>
      </text>
    </comment>
  </commentList>
</comments>
</file>

<file path=xl/sharedStrings.xml><?xml version="1.0" encoding="utf-8"?>
<sst xmlns="http://schemas.openxmlformats.org/spreadsheetml/2006/main" count="98" uniqueCount="96">
  <si>
    <t xml:space="preserve">PBI-1338371 — Delta WB/mapeo Capa Media → GetRefundRTS (5 casos)</t>
  </si>
  <si>
    <t xml:space="preserve">Este PBI no re-prueba Consult a Refund. Ajusta request/response (WB V2) + 4 traducciones #788917 + homologación P→C. Nota PBI: la funcionalidad no tiene cambios adicionales. Columna 4 = solo lo validado en logs vs ese delta. Hoja «Fuera de alcance»: temas de #849436 / #696222 / #696154.</t>
  </si>
  <si>
    <t xml:space="preserve">Nombre del caso de prueba</t>
  </si>
  <si>
    <t xml:space="preserve">Pasos</t>
  </si>
  <si>
    <t xml:space="preserve">Resultado esperado</t>
  </si>
  <si>
    <t xml:space="preserve">Resultado ejecución</t>
  </si>
  <si>
    <t xml:space="preserve">PBI-1338371 #TC Mapeo request Capa Media → GetRefundRTS</t>
  </si>
  <si>
    <t xml:space="preserve">1. POST ESB: refund-request = STATION+CTL_NUM sin guion, ticket="", pnr null/omitido, channel ∈ {1,10,4,6}, lang: "ES".
2. En RTS: station = 5 chars, controlNumber = resto, document = null, status = "".
3. POST: mismo refund-request + ticket de 13 dígitos. En RTS: station + controlNumber + document (ticket ESB → document AVR).
4. Guardar ambas respuestas con fecha y hora. Un channel representativo basta. pnr no se espera en GetRefundRTS.</t>
  </si>
  <si>
    <t xml:space="preserve">Capa Media rutea a RTS. Primer POST: parseo 5+resto, status vacío, 1120 + info-success. Segundo POST: document = ticket enviado. No se re-prueban las 3 combinaciones de filtro AVR (#849436).</t>
  </si>
  <si>
    <t xml:space="preserve">Parcial. Parseo también en canal: BOGWE851922 → BOGWE-851922 (channel=1, lang=EN, 1120). Sigue sin POST con ticket y sin body RTS de este radicado (status/document).</t>
  </si>
  <si>
    <t xml:space="preserve">PBI-1338371 #TC Homologación R / A / C y traducción de los 4 campos</t>
  </si>
  <si>
    <t xml:space="preserve">1. Identificar una solicitud REF_STA_DET='R', una 'A' y una 'P'.
2. POST cada una con lang: "ES" y channel válido.
3. En el request al traductor (#788917) el status enviado: R→"R", A→"A", P→"C" (no "P").
4. En el response a canal: los 4 *-descrip vienen del traductor si el origen existe; si el origen viene vacío, el *-descrip queda vacío.
5. Opcional: SELECT * FROM [master].[MS_HOMOLOGATION_REFERENCE_VALUES] WHERE REFERENCE_VALUE_ORIG IN ('R','A','C').
6. Guardar las tres respuestas con fecha y hora.</t>
  </si>
  <si>
    <t xml:space="preserve">Cada regla de homologación se cubre una vez (ISTQB tabla de decisión). refund-status-descrip corresponde al ESTADO_CAPA MEDIA enviado a ROR, en español. Los otros tres *-descrip se traducen vía #788917. El PBI no redefine si refund-status del canal queda raw (P) o homologado (C): se registra lo que devuelva Capa Media.</t>
  </si>
  <si>
    <t xml:space="preserve">Parcial. Canal BOGWE-851922: refund-status=C, refund-status-descrip=Successful payment (EN). Los 4 *-descrip vienen; fop-description queda UATP (igual al raw). Reject sí viene en un C (There is a bank claim). Sin log RTS de este POST. Sin R ni A.</t>
  </si>
  <si>
    <t xml:space="preserve">PBI-1338371 #TC Parámetro lang EN vs ES</t>
  </si>
  <si>
    <t xml:space="preserve">1. Misma solicitud REF_STA_DET='P' (o 'A') con FOP y razón poblados.
2. POST lang: "ES" → guardar los 4 *-descrip y los raw.
3. POST la misma solicitud con lang: "EN" → guardar los mismos campos.
4. Guardar ambas respuestas. lang=PT no es valor WB: no es caso de este TC.</t>
  </si>
  <si>
    <t xml:space="preserve">Particiones válidas WB: EN y ES (un representante cada una). Los *-descrip cambian de idioma. Los raw no cambian.</t>
  </si>
  <si>
    <t xml:space="preserve">Parcial. Mismo BOGWE1843964: ES Pago exitoso / Cancelación de vuelo vs EN Successful payment / Flight cancellations. Raw KR y Flight cancellations no cambian. fop-description=Voucher igual en ES y EN. lang=PT (ej3) traduce pero está fuera del WB.</t>
  </si>
  <si>
    <t xml:space="preserve">PBI-1338371 #TC Campos nuevos del response (los 4 *-descrip) vs WB</t>
  </si>
  <si>
    <t xml:space="preserve">1. Usar un POST exitoso del TC2 (lang ES).
2. Verificar que existen: refund-status-descrip, fop-description, refcal-refund-reason-descrip, refcal-refund-reject-descrip.
3. No se recorre header / info-payment / summarize-payment campo a campo (#849436). Cuando se pegue el response del WB, completar solo nombres nuevos o renombrados.</t>
  </si>
  <si>
    <t xml:space="preserve">Los 4 campos de la Nota 1 están en el response de Capa Media. El resto de nombres espera el WB response.</t>
  </si>
  <si>
    <t xml:space="preserve">Pass. Response Capa Media BOGWE851922 (lang=EN): están refund-status-descrip, fop-description, refcal-refund-reason-descrip y refcal-refund-reject-descrip. El resto de nombres (info-tiquete, response-msn, total-payment, pax-firstname) no se juzga: WB response no pegado.</t>
  </si>
  <si>
    <t xml:space="preserve">PBI-1338371 #TC Traductor ROR no disponible — la consulta no se cae</t>
  </si>
  <si>
    <t xml:space="preserve">1. Consulta válida (body del TC1 paso 1) con el traductor indisponible o sin homologación para el valor.
2. Guardar respuesta con fecha y hora.</t>
  </si>
  <si>
    <t xml:space="preserve">Riesgo de la Nota 1 (dependencia nueva). El PBI no define el fallback: se registra el comportamiento. Hipótesis a confirmar: 1120 y *-descrip vacíos; no es esperado oficial hasta verlo.</t>
  </si>
  <si>
    <t xml:space="preserve">No ejecutado.</t>
  </si>
  <si>
    <t xml:space="preserve">Temas que no son casos de PBI-1338371</t>
  </si>
  <si>
    <t xml:space="preserve">La nota del PBI deja estas características en los PBIs relacionados. No se cierran ni se fallan aquí.</t>
  </si>
  <si>
    <t xml:space="preserve">Tema</t>
  </si>
  <si>
    <t xml:space="preserve">Por qué no va en 1338371</t>
  </si>
  <si>
    <t xml:space="preserve">Dónde sí aplica</t>
  </si>
  <si>
    <t xml:space="preserve">Tres combinaciones Station+Ctl / +Document / solo Document</t>
  </si>
  <si>
    <t xml:space="preserve">Filtros de GetRefundRTS, no un cambio de este WB</t>
  </si>
  <si>
    <t xml:space="preserve">#849436 + AVR §10.2 517–520</t>
  </si>
  <si>
    <t xml:space="preserve">Prioridad si el tkt está radicado más de una vez</t>
  </si>
  <si>
    <t xml:space="preserve">Lógica AVR existente</t>
  </si>
  <si>
    <t xml:space="preserve">#849436 + AVR §10.2 524–537</t>
  </si>
  <si>
    <t xml:space="preserve">Mapeo completo header / tickets / payment vs BD</t>
  </si>
  <si>
    <t xml:space="preserve">GetRefundRTS ya mapea esas columnas</t>
  </si>
  <si>
    <t xml:space="preserve">#849436 + AVR §10.2 583–636</t>
  </si>
  <si>
    <t xml:space="preserve">Agrupación summarize-payment, SUM VAL_AUT/FAR_AMT/TAX_AMT_ADJ, Blob</t>
  </si>
  <si>
    <t xml:space="preserve">El PBI dice que la funcionalidad se mantiene</t>
  </si>
  <si>
    <t xml:space="preserve">#849436 + AVR §10.2 638–659</t>
  </si>
  <si>
    <t xml:space="preserve">Constantes CHANNEL_RTS/DOCUMENT_TYPE_RTS, is-commission, ORIGINAL_TICKET, pax</t>
  </si>
  <si>
    <t xml:space="preserve">Derivados AVR existentes</t>
  </si>
  <si>
    <t xml:space="preserve">AVR §10.2 540–543, 603, 611</t>
  </si>
  <si>
    <t xml:space="preserve">Probar channel 1, 10, 4 y 6 por separado</t>
  </si>
  <si>
    <t xml:space="preserve">Una sola partición válida; un representante cubre EP</t>
  </si>
  <si>
    <t xml:space="preserve">WB request — cubierto en TC1 con un valor</t>
  </si>
  <si>
    <t xml:space="preserve">Request inválido, tkt inexistente, sin pago, 1110</t>
  </si>
  <si>
    <t xml:space="preserve">Manejo de error del flujo ya definido</t>
  </si>
  <si>
    <t xml:space="preserve">#696154 / #849436</t>
  </si>
  <si>
    <t xml:space="preserve">Reintento AVR (máx. 1) y campos de cola LOG_REFUND</t>
  </si>
  <si>
    <t xml:space="preserve">1338371 no los menciona</t>
  </si>
  <si>
    <t xml:space="preserve">#696222</t>
  </si>
  <si>
    <t xml:space="preserve">SUM authorized-value (× n impuestos en logs)</t>
  </si>
  <si>
    <t xml:space="preserve">Hallazgo incidental AVR; no es TC de este PBI</t>
  </si>
  <si>
    <t xml:space="preserve">Si se reporta: related #849436</t>
  </si>
  <si>
    <t xml:space="preserve">Leyenda y conteo</t>
  </si>
  <si>
    <t xml:space="preserve">Valor</t>
  </si>
  <si>
    <t xml:space="preserve">Cuándo se usa</t>
  </si>
  <si>
    <t xml:space="preserve">Cantidad</t>
  </si>
  <si>
    <t xml:space="preserve">Pass</t>
  </si>
  <si>
    <t xml:space="preserve">Todos los pasos del delta se ejecutaron y el esperado de ESTE PBI se cumplió.</t>
  </si>
  <si>
    <t xml:space="preserve">Fail</t>
  </si>
  <si>
    <t xml:space="preserve">El esperado de ESTE PBI se contrastó en logs y no cuadra. Fail → Bug el mismo día.</t>
  </si>
  <si>
    <t xml:space="preserve">Parcial</t>
  </si>
  <si>
    <t xml:space="preserve">Hay evidencia de parte del delta; faltan estados R/A, POST con ticket o WB response.</t>
  </si>
  <si>
    <t xml:space="preserve">No ejecutado</t>
  </si>
  <si>
    <t xml:space="preserve">Los logs no tocan el escenario (TC5 traductor caído).</t>
  </si>
  <si>
    <t xml:space="preserve">Total casos de este PBI</t>
  </si>
  <si>
    <t xml:space="preserve">Ejecuciones usadas (logs)</t>
  </si>
  <si>
    <t xml:space="preserve">Fecha/hora QA</t>
  </si>
  <si>
    <t xml:space="preserve">refund-request</t>
  </si>
  <si>
    <t xml:space="preserve">channel</t>
  </si>
  <si>
    <t xml:space="preserve">lang</t>
  </si>
  <si>
    <t xml:space="preserve">Orquestador</t>
  </si>
  <si>
    <t xml:space="preserve">RTS</t>
  </si>
  <si>
    <t xml:space="preserve">2026-10-16 18:22:48</t>
  </si>
  <si>
    <t xml:space="preserve">BOGWE1843964</t>
  </si>
  <si>
    <t xml:space="preserve">ES</t>
  </si>
  <si>
    <t xml:space="preserve">…590B</t>
  </si>
  <si>
    <t xml:space="preserve">…121D</t>
  </si>
  <si>
    <t xml:space="preserve">2026-10-16 18:24:27</t>
  </si>
  <si>
    <t xml:space="preserve">EN</t>
  </si>
  <si>
    <t xml:space="preserve">(mismo flujo)</t>
  </si>
  <si>
    <t xml:space="preserve">…1221</t>
  </si>
  <si>
    <t xml:space="preserve">2026-10-20 11:27:53</t>
  </si>
  <si>
    <t xml:space="preserve">WBATC5523</t>
  </si>
  <si>
    <t xml:space="preserve">…5CF0</t>
  </si>
  <si>
    <t xml:space="preserve">…129B</t>
  </si>
  <si>
    <t xml:space="preserve">2026-10-20 11:29:08</t>
  </si>
  <si>
    <t xml:space="preserve">BOGFF48657</t>
  </si>
  <si>
    <t xml:space="preserve">PT</t>
  </si>
  <si>
    <t xml:space="preserve">…5CF2</t>
  </si>
  <si>
    <t xml:space="preserve">…129D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</si>
</sst>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570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CE4D6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FCE4D6"/>
        <bgColor rgb="FFF2F2F2"/>
      </patternFill>
    </fill>
    <fill>
      <patternFill patternType="solid">
        <fgColor rgb="FFFFC7CE"/>
        <bgColor rgb="FFFCE4D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FCE4D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62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48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09.5" hidden="false" customHeight="true" outlineLevel="0" collapsed="false">
      <c r="A4" s="5" t="s">
        <v>6</v>
      </c>
      <c r="B4" s="5" t="s">
        <v>7</v>
      </c>
      <c r="C4" s="5" t="s">
        <v>8</v>
      </c>
      <c r="D4" s="6" t="s">
        <v>9</v>
      </c>
    </row>
    <row r="5" customFormat="false" ht="109.5" hidden="false" customHeight="true" outlineLevel="0" collapsed="false">
      <c r="A5" s="7" t="s">
        <v>10</v>
      </c>
      <c r="B5" s="7" t="s">
        <v>11</v>
      </c>
      <c r="C5" s="7" t="s">
        <v>12</v>
      </c>
      <c r="D5" s="6" t="s">
        <v>13</v>
      </c>
    </row>
    <row r="6" customFormat="false" ht="109.5" hidden="false" customHeight="true" outlineLevel="0" collapsed="false">
      <c r="A6" s="5" t="s">
        <v>14</v>
      </c>
      <c r="B6" s="5" t="s">
        <v>15</v>
      </c>
      <c r="C6" s="5" t="s">
        <v>16</v>
      </c>
      <c r="D6" s="6" t="s">
        <v>17</v>
      </c>
    </row>
    <row r="7" customFormat="false" ht="109.5" hidden="false" customHeight="true" outlineLevel="0" collapsed="false">
      <c r="A7" s="7" t="s">
        <v>18</v>
      </c>
      <c r="B7" s="7" t="s">
        <v>19</v>
      </c>
      <c r="C7" s="7" t="s">
        <v>20</v>
      </c>
      <c r="D7" s="8" t="s">
        <v>21</v>
      </c>
    </row>
    <row r="8" customFormat="false" ht="109.5" hidden="false" customHeight="true" outlineLevel="0" collapsed="false">
      <c r="A8" s="5" t="s">
        <v>22</v>
      </c>
      <c r="B8" s="5" t="s">
        <v>23</v>
      </c>
      <c r="C8" s="5" t="s">
        <v>24</v>
      </c>
      <c r="D8" s="9" t="s">
        <v>25</v>
      </c>
    </row>
  </sheetData>
  <autoFilter ref="A3:D8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52"/>
    <col collapsed="false" customWidth="true" hidden="false" outlineLevel="0" max="3" min="3" style="1" width="42"/>
  </cols>
  <sheetData>
    <row r="1" customFormat="false" ht="17.25" hidden="false" customHeight="true" outlineLevel="0" collapsed="false">
      <c r="A1" s="2" t="s">
        <v>26</v>
      </c>
      <c r="B1" s="2"/>
      <c r="C1" s="2"/>
    </row>
    <row r="2" customFormat="false" ht="15" hidden="false" customHeight="true" outlineLevel="0" collapsed="false">
      <c r="A2" s="10" t="s">
        <v>27</v>
      </c>
      <c r="B2" s="10"/>
      <c r="C2" s="10"/>
    </row>
    <row r="3" customFormat="false" ht="15" hidden="false" customHeight="true" outlineLevel="0" collapsed="false">
      <c r="A3" s="4" t="s">
        <v>28</v>
      </c>
      <c r="B3" s="4" t="s">
        <v>29</v>
      </c>
      <c r="C3" s="4" t="s">
        <v>30</v>
      </c>
    </row>
    <row r="4" customFormat="false" ht="36" hidden="false" customHeight="true" outlineLevel="0" collapsed="false">
      <c r="A4" s="11" t="s">
        <v>31</v>
      </c>
      <c r="B4" s="7" t="s">
        <v>32</v>
      </c>
      <c r="C4" s="7" t="s">
        <v>33</v>
      </c>
    </row>
    <row r="5" customFormat="false" ht="36" hidden="false" customHeight="true" outlineLevel="0" collapsed="false">
      <c r="A5" s="11" t="s">
        <v>34</v>
      </c>
      <c r="B5" s="7" t="s">
        <v>35</v>
      </c>
      <c r="C5" s="7" t="s">
        <v>36</v>
      </c>
    </row>
    <row r="6" customFormat="false" ht="36" hidden="false" customHeight="true" outlineLevel="0" collapsed="false">
      <c r="A6" s="11" t="s">
        <v>37</v>
      </c>
      <c r="B6" s="7" t="s">
        <v>38</v>
      </c>
      <c r="C6" s="7" t="s">
        <v>39</v>
      </c>
    </row>
    <row r="7" customFormat="false" ht="36" hidden="false" customHeight="true" outlineLevel="0" collapsed="false">
      <c r="A7" s="11" t="s">
        <v>40</v>
      </c>
      <c r="B7" s="7" t="s">
        <v>41</v>
      </c>
      <c r="C7" s="7" t="s">
        <v>42</v>
      </c>
    </row>
    <row r="8" customFormat="false" ht="36" hidden="false" customHeight="true" outlineLevel="0" collapsed="false">
      <c r="A8" s="11" t="s">
        <v>43</v>
      </c>
      <c r="B8" s="7" t="s">
        <v>44</v>
      </c>
      <c r="C8" s="7" t="s">
        <v>45</v>
      </c>
    </row>
    <row r="9" customFormat="false" ht="36" hidden="false" customHeight="true" outlineLevel="0" collapsed="false">
      <c r="A9" s="11" t="s">
        <v>46</v>
      </c>
      <c r="B9" s="7" t="s">
        <v>47</v>
      </c>
      <c r="C9" s="7" t="s">
        <v>48</v>
      </c>
    </row>
    <row r="10" customFormat="false" ht="36" hidden="false" customHeight="true" outlineLevel="0" collapsed="false">
      <c r="A10" s="11" t="s">
        <v>49</v>
      </c>
      <c r="B10" s="7" t="s">
        <v>50</v>
      </c>
      <c r="C10" s="7" t="s">
        <v>51</v>
      </c>
    </row>
    <row r="11" customFormat="false" ht="36" hidden="false" customHeight="true" outlineLevel="0" collapsed="false">
      <c r="A11" s="11" t="s">
        <v>52</v>
      </c>
      <c r="B11" s="7" t="s">
        <v>53</v>
      </c>
      <c r="C11" s="7" t="s">
        <v>54</v>
      </c>
    </row>
    <row r="12" customFormat="false" ht="36" hidden="false" customHeight="true" outlineLevel="0" collapsed="false">
      <c r="A12" s="11" t="s">
        <v>55</v>
      </c>
      <c r="B12" s="7" t="s">
        <v>56</v>
      </c>
      <c r="C12" s="7" t="s">
        <v>57</v>
      </c>
    </row>
  </sheetData>
  <autoFilter ref="A3:C12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4"/>
  </cols>
  <sheetData>
    <row r="1" customFormat="false" ht="17.25" hidden="false" customHeight="true" outlineLevel="0" collapsed="false">
      <c r="A1" s="2" t="s">
        <v>58</v>
      </c>
      <c r="B1" s="2"/>
      <c r="C1" s="2"/>
    </row>
    <row r="3" customFormat="false" ht="15" hidden="false" customHeight="true" outlineLevel="0" collapsed="false">
      <c r="A3" s="12" t="s">
        <v>59</v>
      </c>
      <c r="B3" s="12" t="s">
        <v>60</v>
      </c>
      <c r="C3" s="12" t="s">
        <v>61</v>
      </c>
    </row>
    <row r="4" customFormat="false" ht="31.5" hidden="false" customHeight="true" outlineLevel="0" collapsed="false">
      <c r="A4" s="8" t="s">
        <v>62</v>
      </c>
      <c r="B4" s="7" t="s">
        <v>63</v>
      </c>
      <c r="C4" s="13" t="n">
        <f aca="false">COUNTIF('Casos de prueba'!D4:D8,"Pass*")</f>
        <v>1</v>
      </c>
    </row>
    <row r="5" customFormat="false" ht="31.5" hidden="false" customHeight="true" outlineLevel="0" collapsed="false">
      <c r="A5" s="14" t="s">
        <v>64</v>
      </c>
      <c r="B5" s="7" t="s">
        <v>65</v>
      </c>
      <c r="C5" s="15" t="n">
        <f aca="false">COUNTIF('Casos de prueba'!D4:D8,"Fail*")</f>
        <v>0</v>
      </c>
    </row>
    <row r="6" customFormat="false" ht="31.5" hidden="false" customHeight="true" outlineLevel="0" collapsed="false">
      <c r="A6" s="6" t="s">
        <v>66</v>
      </c>
      <c r="B6" s="7" t="s">
        <v>67</v>
      </c>
      <c r="C6" s="16" t="n">
        <f aca="false">COUNTIF('Casos de prueba'!D4:D8,"Parcial*")</f>
        <v>3</v>
      </c>
    </row>
    <row r="7" customFormat="false" ht="31.5" hidden="false" customHeight="true" outlineLevel="0" collapsed="false">
      <c r="A7" s="9" t="s">
        <v>68</v>
      </c>
      <c r="B7" s="7" t="s">
        <v>69</v>
      </c>
      <c r="C7" s="17" t="n">
        <f aca="false">COUNTIF('Casos de prueba'!D4:D8,"No ejecutado*")</f>
        <v>1</v>
      </c>
    </row>
    <row r="9" customFormat="false" ht="15" hidden="false" customHeight="true" outlineLevel="0" collapsed="false">
      <c r="A9" s="18" t="s">
        <v>70</v>
      </c>
      <c r="B9" s="19" t="n">
        <f aca="false">COUNTA('Casos de prueba'!A4:A8)</f>
        <v>5</v>
      </c>
      <c r="C9" s="19" t="n">
        <f aca="false">C4+C5+C6+C7</f>
        <v>5</v>
      </c>
    </row>
    <row r="11" customFormat="false" ht="15" hidden="false" customHeight="true" outlineLevel="0" collapsed="false">
      <c r="A11" s="20" t="s">
        <v>71</v>
      </c>
      <c r="B11" s="20"/>
      <c r="C11" s="20"/>
      <c r="D11" s="20"/>
      <c r="E11" s="20"/>
      <c r="F11" s="20"/>
    </row>
    <row r="12" customFormat="false" ht="15" hidden="false" customHeight="true" outlineLevel="0" collapsed="false">
      <c r="A12" s="21" t="s">
        <v>72</v>
      </c>
      <c r="B12" s="21" t="s">
        <v>73</v>
      </c>
      <c r="C12" s="21" t="s">
        <v>74</v>
      </c>
      <c r="D12" s="21" t="s">
        <v>75</v>
      </c>
      <c r="E12" s="21" t="s">
        <v>76</v>
      </c>
      <c r="F12" s="21" t="s">
        <v>77</v>
      </c>
    </row>
    <row r="13" customFormat="false" ht="15" hidden="false" customHeight="true" outlineLevel="0" collapsed="false">
      <c r="A13" s="7" t="s">
        <v>78</v>
      </c>
      <c r="B13" s="22" t="s">
        <v>79</v>
      </c>
      <c r="C13" s="22" t="n">
        <v>10</v>
      </c>
      <c r="D13" s="22" t="s">
        <v>80</v>
      </c>
      <c r="E13" s="7" t="s">
        <v>81</v>
      </c>
      <c r="F13" s="7" t="s">
        <v>82</v>
      </c>
    </row>
    <row r="14" customFormat="false" ht="15" hidden="false" customHeight="true" outlineLevel="0" collapsed="false">
      <c r="A14" s="7" t="s">
        <v>83</v>
      </c>
      <c r="B14" s="22" t="s">
        <v>79</v>
      </c>
      <c r="C14" s="22" t="n">
        <v>10</v>
      </c>
      <c r="D14" s="22" t="s">
        <v>84</v>
      </c>
      <c r="E14" s="7" t="s">
        <v>85</v>
      </c>
      <c r="F14" s="7" t="s">
        <v>86</v>
      </c>
    </row>
    <row r="15" customFormat="false" ht="15" hidden="false" customHeight="true" outlineLevel="0" collapsed="false">
      <c r="A15" s="7" t="s">
        <v>87</v>
      </c>
      <c r="B15" s="22" t="s">
        <v>88</v>
      </c>
      <c r="C15" s="22" t="n">
        <v>2</v>
      </c>
      <c r="D15" s="22" t="s">
        <v>84</v>
      </c>
      <c r="E15" s="7" t="s">
        <v>89</v>
      </c>
      <c r="F15" s="7" t="s">
        <v>90</v>
      </c>
    </row>
    <row r="16" customFormat="false" ht="15" hidden="false" customHeight="true" outlineLevel="0" collapsed="false">
      <c r="A16" s="7" t="s">
        <v>91</v>
      </c>
      <c r="B16" s="22" t="s">
        <v>92</v>
      </c>
      <c r="C16" s="22" t="n">
        <v>1</v>
      </c>
      <c r="D16" s="22" t="s">
        <v>93</v>
      </c>
      <c r="E16" s="7" t="s">
        <v>94</v>
      </c>
      <c r="F16" s="7" t="s">
        <v>95</v>
      </c>
    </row>
  </sheetData>
  <mergeCells count="2">
    <mergeCell ref="A1:C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2026-10-20T20:48:54Z</dcterms:created>
  <dc:creator>openpyxl</dc:creator>
  <dc:description/>
  <dc:language>es-ES</dc:language>
  <cp:lastModifiedBy/>
  <dcterms:modified xsi:type="dcterms:W3CDTF">2026-10-20T21:24:01Z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